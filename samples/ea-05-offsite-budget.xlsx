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Expenses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<sst xmlns="http://schemas.openxmlformats.org/spreadsheetml/2006/main" count="53" uniqueCount="46">
  <si>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SAMPLE | Cedarline Partners offsite budget (fictional)</t>
  </si>
  <si>
    <t xml:space="preserve">Two day offsite, 14 people, Monday 8 to Wednesday 10 February 2027. All figures are invented.</t>
  </si>
  <si>
    <t xml:space="preserve">Category</t>
  </si>
  <si>
    <t xml:space="preserve">Budget (USD)</t>
  </si>
  <si>
    <t xml:space="preserve">Spent so far (USD)</t>
  </si>
  <si>
    <t xml:space="preserve">Remaining (USD)</t>
  </si>
  <si>
    <t xml:space="preserve">Percent used</t>
  </si>
  <si>
    <t xml:space="preserve">Flag</t>
  </si>
  <si>
    <t xml:space="preserve">Lodging</t>
  </si>
  <si>
    <t xml:space="preserve">Meeting room</t>
  </si>
  <si>
    <t xml:space="preserve">Meals</t>
  </si>
  <si>
    <t xml:space="preserve">Ground transport</t>
  </si>
  <si>
    <t xml:space="preserve">Activity</t>
  </si>
  <si>
    <t xml:space="preserve">Printing</t>
  </si>
  <si>
    <t xml:space="preserve">Contingency</t>
  </si>
  <si>
    <t xml:space="preserve">Total</t>
  </si>
  <si>
    <t xml:space="preserve">Cap per the brief (USD)</t>
  </si>
  <si>
    <t xml:space="preserve">Check: budget lines equal cap</t>
  </si>
  <si>
    <t xml:space="preserve">Blue figures are inputs. Black figures are formulas. Add expenses on the Expenses tab and this page updates.</t>
  </si>
  <si>
    <t xml:space="preserve">Expense log (SAMPLE, fictional company and vendors)</t>
  </si>
  <si>
    <t xml:space="preserve">Date</t>
  </si>
  <si>
    <t xml:space="preserve">Vendor</t>
  </si>
  <si>
    <t xml:space="preserve">Note</t>
  </si>
  <si>
    <t xml:space="preserve">Amount (USD)</t>
  </si>
  <si>
    <t xml:space="preserve">Status</t>
  </si>
  <si>
    <t xml:space="preserve">2026-11-02</t>
  </si>
  <si>
    <t xml:space="preserve">Greenline Vans (fictional)</t>
  </si>
  <si>
    <t xml:space="preserve">Deposit for two vans</t>
  </si>
  <si>
    <t xml:space="preserve">Paid</t>
  </si>
  <si>
    <t xml:space="preserve">2026-11-09</t>
  </si>
  <si>
    <t xml:space="preserve">Print shop (fictional)</t>
  </si>
  <si>
    <t xml:space="preserve">Name badges and room list</t>
  </si>
  <si>
    <t xml:space="preserve">2026-11-12</t>
  </si>
  <si>
    <t xml:space="preserve">Rivercraft Studio (fictional)</t>
  </si>
  <si>
    <t xml:space="preserve">Deposit for team activity</t>
  </si>
  <si>
    <t xml:space="preserve">2026-11-16</t>
  </si>
  <si>
    <t xml:space="preserve">Hilltop Kitchen (fictional)</t>
  </si>
  <si>
    <t xml:space="preserve">Catering quote, not yet paid</t>
  </si>
  <si>
    <t xml:space="preserve">Pending</t>
  </si>
  <si>
    <t xml:space="preserve">Read me</t>
  </si>
  <si>
    <t xml:space="preserve">This workbook is a practice sample built on fictional data for a portfolio.</t>
  </si>
  <si>
    <t xml:space="preserve">It is not a real client budget. Company, vendors and amounts are invented.</t>
  </si>
  <si>
    <t xml:space="preserve">Edit: the blue cells on the Budget tab (budget lines, cap) and the Expenses tab (log).</t>
  </si>
  <si>
    <t xml:space="preserve">Example row: the first row of the log shows the expected format for date, category, vendor, note and amount.</t>
  </si>
  <si>
    <t xml:space="preserve">Category names must match the Budget tab exactly. A drop down on the Expenses tab keeps them consistent.</t>
  </si>
  <si>
    <t xml:space="preserve">Assumption: the $9,000 cap and the line split are invented for the exercise.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</si>
</sst>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D3A"/>
      <name val="Arial"/>
      <family val="0"/>
      <charset val="1"/>
    </font>
    <font>
      <i val="true"/>
      <sz val="9"/>
      <color rgb="FF5B6B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D3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F6F1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AE"/>
      </left>
      <right style="thin">
        <color rgb="FFC9C2AE"/>
      </right>
      <top style="thin">
        <color rgb="FFC9C2AE"/>
      </top>
      <bottom style="thin">
        <color rgb="FFC9C2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7C3"/>
        </patternFill>
      </fill>
    </dxf>
    <dxf>
      <fill>
        <patternFill>
          <bgColor rgb="FFFCE8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AE"/>
      <rgbColor rgb="FF808080"/>
      <rgbColor rgb="FF9999FF"/>
      <rgbColor rgb="FF993366"/>
      <rgbColor rgb="FFF6F1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B6B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4606</v>
      </c>
      <c r="C5" s="6" t="n">
        <f aca="false">SUMIFS(Expenses!$E$4:$E$23,Expenses!$B$4:$B$23,A5)</f>
        <v>0</v>
      </c>
      <c r="D5" s="6" t="n">
        <f aca="false">B5-C5</f>
        <v>4606</v>
      </c>
      <c r="E5" s="7" t="n">
        <f aca="false">IF(B5=0,0,C5/B5)</f>
        <v>0</v>
      </c>
      <c r="F5" s="4" t="str">
        <f aca="false">IF(E5&gt;1,"Over budget",IF(E5&gt;=0.8,"Watch","OK"))</f>
        <v>OK</v>
      </c>
    </row>
    <row r="6" customFormat="false" ht="15" hidden="false" customHeight="false" outlineLevel="0" collapsed="false">
      <c r="A6" s="4" t="s">
        <v>9</v>
      </c>
      <c r="B6" s="5" t="n">
        <v>700</v>
      </c>
      <c r="C6" s="6" t="n">
        <f aca="false">SUMIFS(Expenses!$E$4:$E$23,Expenses!$B$4:$B$23,A6)</f>
        <v>0</v>
      </c>
      <c r="D6" s="6" t="n">
        <f aca="false">B6-C6</f>
        <v>700</v>
      </c>
      <c r="E6" s="7" t="n">
        <f aca="false">IF(B6=0,0,C6/B6)</f>
        <v>0</v>
      </c>
      <c r="F6" s="4" t="str">
        <f aca="false">IF(E6&gt;1,"Over budget",IF(E6&gt;=0.8,"Watch","OK"))</f>
        <v>OK</v>
      </c>
    </row>
    <row r="7" customFormat="false" ht="15" hidden="false" customHeight="false" outlineLevel="0" collapsed="false">
      <c r="A7" s="4" t="s">
        <v>10</v>
      </c>
      <c r="B7" s="5" t="n">
        <v>2100</v>
      </c>
      <c r="C7" s="6" t="n">
        <f aca="false">SUMIFS(Expenses!$E$4:$E$23,Expenses!$B$4:$B$23,A7)</f>
        <v>0</v>
      </c>
      <c r="D7" s="6" t="n">
        <f aca="false">B7-C7</f>
        <v>2100</v>
      </c>
      <c r="E7" s="7" t="n">
        <f aca="false">IF(B7=0,0,C7/B7)</f>
        <v>0</v>
      </c>
      <c r="F7" s="4" t="str">
        <f aca="false">IF(E7&gt;1,"Over budget",IF(E7&gt;=0.8,"Watch","OK"))</f>
        <v>OK</v>
      </c>
    </row>
    <row r="8" customFormat="false" ht="15" hidden="false" customHeight="false" outlineLevel="0" collapsed="false">
      <c r="A8" s="4" t="s">
        <v>11</v>
      </c>
      <c r="B8" s="5" t="n">
        <v>800</v>
      </c>
      <c r="C8" s="6" t="n">
        <f aca="false">SUMIFS(Expenses!$E$4:$E$23,Expenses!$B$4:$B$23,A8)</f>
        <v>200</v>
      </c>
      <c r="D8" s="6" t="n">
        <f aca="false">B8-C8</f>
        <v>600</v>
      </c>
      <c r="E8" s="7" t="n">
        <f aca="false">IF(B8=0,0,C8/B8)</f>
        <v>0.25</v>
      </c>
      <c r="F8" s="4" t="str">
        <f aca="false">IF(E8&gt;1,"Over budget",IF(E8&gt;=0.8,"Watch","OK"))</f>
        <v>OK</v>
      </c>
    </row>
    <row r="9" customFormat="false" ht="15" hidden="false" customHeight="false" outlineLevel="0" collapsed="false">
      <c r="A9" s="4" t="s">
        <v>12</v>
      </c>
      <c r="B9" s="5" t="n">
        <v>300</v>
      </c>
      <c r="C9" s="6" t="n">
        <f aca="false">SUMIFS(Expenses!$E$4:$E$23,Expenses!$B$4:$B$23,A9)</f>
        <v>100</v>
      </c>
      <c r="D9" s="6" t="n">
        <f aca="false">B9-C9</f>
        <v>200</v>
      </c>
      <c r="E9" s="7" t="n">
        <f aca="false">IF(B9=0,0,C9/B9)</f>
        <v>0.333333333333333</v>
      </c>
      <c r="F9" s="4" t="str">
        <f aca="false">IF(E9&gt;1,"Over budget",IF(E9&gt;=0.8,"Watch","OK"))</f>
        <v>OK</v>
      </c>
    </row>
    <row r="10" customFormat="false" ht="15" hidden="false" customHeight="false" outlineLevel="0" collapsed="false">
      <c r="A10" s="4" t="s">
        <v>13</v>
      </c>
      <c r="B10" s="5" t="n">
        <v>100</v>
      </c>
      <c r="C10" s="6" t="n">
        <f aca="false">SUMIFS(Expenses!$E$4:$E$23,Expenses!$B$4:$B$23,A10)</f>
        <v>38.5</v>
      </c>
      <c r="D10" s="6" t="n">
        <f aca="false">B10-C10</f>
        <v>61.5</v>
      </c>
      <c r="E10" s="7" t="n">
        <f aca="false">IF(B10=0,0,C10/B10)</f>
        <v>0.385</v>
      </c>
      <c r="F10" s="4" t="str">
        <f aca="false">IF(E10&gt;1,"Over budget",IF(E10&gt;=0.8,"Watch","OK"))</f>
        <v>OK</v>
      </c>
    </row>
    <row r="11" customFormat="false" ht="15" hidden="false" customHeight="false" outlineLevel="0" collapsed="false">
      <c r="A11" s="4" t="s">
        <v>14</v>
      </c>
      <c r="B11" s="5" t="n">
        <v>394</v>
      </c>
      <c r="C11" s="6" t="n">
        <f aca="false">SUMIFS(Expenses!$E$4:$E$23,Expenses!$B$4:$B$23,A11)</f>
        <v>0</v>
      </c>
      <c r="D11" s="6" t="n">
        <f aca="false">B11-C11</f>
        <v>394</v>
      </c>
      <c r="E11" s="7" t="n">
        <f aca="false">IF(B11=0,0,C11/B11)</f>
        <v>0</v>
      </c>
      <c r="F11" s="4" t="str">
        <f aca="false">IF(E11&gt;1,"Over budget",IF(E11&gt;=0.8,"Watch","OK"))</f>
        <v>OK</v>
      </c>
    </row>
    <row r="12" customFormat="false" ht="15" hidden="false" customHeight="false" outlineLevel="0" collapsed="false">
      <c r="A12" s="8" t="s">
        <v>15</v>
      </c>
      <c r="B12" s="9" t="n">
        <f aca="false">SUM(B5:B11)</f>
        <v>9000</v>
      </c>
      <c r="C12" s="9" t="n">
        <f aca="false">SUM(C5:C11)</f>
        <v>338.5</v>
      </c>
      <c r="D12" s="9" t="n">
        <f aca="false">SUM(D5:D11)</f>
        <v>8661.5</v>
      </c>
      <c r="E12" s="10" t="n">
        <f aca="false">IF(B12=0,0,C12/B12)</f>
        <v>0.0376111111111111</v>
      </c>
      <c r="F12" s="8" t="str">
        <f aca="false">IF(E12&gt;1,"Over budget",IF(E12&gt;=0.8,"Watch","OK"))</f>
        <v>OK</v>
      </c>
    </row>
    <row r="14" customFormat="false" ht="15" hidden="false" customHeight="false" outlineLevel="0" collapsed="false">
      <c r="A14" s="11" t="s">
        <v>16</v>
      </c>
      <c r="B14" s="12" t="n">
        <v>9000</v>
      </c>
    </row>
    <row r="15" customFormat="false" ht="15" hidden="false" customHeight="false" outlineLevel="0" collapsed="false">
      <c r="A15" s="11" t="s">
        <v>17</v>
      </c>
      <c r="B15" s="13" t="str">
        <f aca="false">IF(B12=B14,"Matches","Does not match")</f>
        <v>Matches</v>
      </c>
    </row>
    <row r="17" customFormat="false" ht="15" hidden="false" customHeight="false" outlineLevel="0" collapsed="false">
      <c r="A17" s="2" t="s">
        <v>18</v>
      </c>
    </row>
  </sheetData>
  <conditionalFormatting sqref="F5:F12">
    <cfRule type="cellIs" priority="2" operator="equal" aboveAverage="0" equalAverage="0" bottom="0" percent="0" rank="0" text="" dxfId="0">
      <formula>"Over budget"</formula>
    </cfRule>
    <cfRule type="cellIs" priority="3" operator="equal" aboveAverage="0" equalAverage="0" bottom="0" percent="0" rank="0" text="" dxfId="1">
      <formula>"Watch"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4" t="s">
        <v>19</v>
      </c>
    </row>
    <row r="3" customFormat="false" ht="15" hidden="false" customHeight="false" outlineLevel="0" collapsed="false">
      <c r="A3" s="15" t="s">
        <v>20</v>
      </c>
      <c r="B3" s="15" t="s">
        <v>2</v>
      </c>
      <c r="C3" s="15" t="s">
        <v>21</v>
      </c>
      <c r="D3" s="15" t="s">
        <v>22</v>
      </c>
      <c r="E3" s="15" t="s">
        <v>23</v>
      </c>
      <c r="F3" s="15" t="s">
        <v>24</v>
      </c>
    </row>
    <row r="4" customFormat="false" ht="15" hidden="false" customHeight="false" outlineLevel="0" collapsed="false">
      <c r="A4" s="16" t="s">
        <v>25</v>
      </c>
      <c r="B4" s="16" t="s">
        <v>11</v>
      </c>
      <c r="C4" s="16" t="s">
        <v>26</v>
      </c>
      <c r="D4" s="16" t="s">
        <v>27</v>
      </c>
      <c r="E4" s="5" t="n">
        <v>200</v>
      </c>
      <c r="F4" s="16" t="s">
        <v>28</v>
      </c>
    </row>
    <row r="5" customFormat="false" ht="15" hidden="false" customHeight="false" outlineLevel="0" collapsed="false">
      <c r="A5" s="16" t="s">
        <v>29</v>
      </c>
      <c r="B5" s="16" t="s">
        <v>13</v>
      </c>
      <c r="C5" s="16" t="s">
        <v>30</v>
      </c>
      <c r="D5" s="16" t="s">
        <v>31</v>
      </c>
      <c r="E5" s="5" t="n">
        <v>38.5</v>
      </c>
      <c r="F5" s="16" t="s">
        <v>28</v>
      </c>
    </row>
    <row r="6" customFormat="false" ht="15" hidden="false" customHeight="false" outlineLevel="0" collapsed="false">
      <c r="A6" s="16" t="s">
        <v>32</v>
      </c>
      <c r="B6" s="16" t="s">
        <v>12</v>
      </c>
      <c r="C6" s="16" t="s">
        <v>33</v>
      </c>
      <c r="D6" s="16" t="s">
        <v>34</v>
      </c>
      <c r="E6" s="5" t="n">
        <v>100</v>
      </c>
      <c r="F6" s="16" t="s">
        <v>28</v>
      </c>
    </row>
    <row r="7" customFormat="false" ht="15" hidden="false" customHeight="false" outlineLevel="0" collapsed="false">
      <c r="A7" s="16" t="s">
        <v>35</v>
      </c>
      <c r="B7" s="16" t="s">
        <v>10</v>
      </c>
      <c r="C7" s="16" t="s">
        <v>36</v>
      </c>
      <c r="D7" s="16" t="s">
        <v>37</v>
      </c>
      <c r="E7" s="5" t="n">
        <v>0</v>
      </c>
      <c r="F7" s="16" t="s">
        <v>38</v>
      </c>
    </row>
    <row r="8" customFormat="false" ht="15" hidden="false" customHeight="false" outlineLevel="0" collapsed="false">
      <c r="A8" s="16"/>
      <c r="B8" s="16"/>
      <c r="C8" s="16"/>
      <c r="D8" s="16"/>
      <c r="E8" s="5"/>
      <c r="F8" s="16"/>
    </row>
    <row r="9" customFormat="false" ht="15" hidden="false" customHeight="false" outlineLevel="0" collapsed="false">
      <c r="A9" s="16"/>
      <c r="B9" s="16"/>
      <c r="C9" s="16"/>
      <c r="D9" s="16"/>
      <c r="E9" s="5"/>
      <c r="F9" s="16"/>
    </row>
    <row r="10" customFormat="false" ht="15" hidden="false" customHeight="false" outlineLevel="0" collapsed="false">
      <c r="A10" s="16"/>
      <c r="B10" s="16"/>
      <c r="C10" s="16"/>
      <c r="D10" s="16"/>
      <c r="E10" s="5"/>
      <c r="F10" s="16"/>
    </row>
    <row r="11" customFormat="false" ht="15" hidden="false" customHeight="false" outlineLevel="0" collapsed="false">
      <c r="A11" s="16"/>
      <c r="B11" s="16"/>
      <c r="C11" s="16"/>
      <c r="D11" s="16"/>
      <c r="E11" s="5"/>
      <c r="F11" s="16"/>
    </row>
    <row r="12" customFormat="false" ht="15" hidden="false" customHeight="false" outlineLevel="0" collapsed="false">
      <c r="A12" s="16"/>
      <c r="B12" s="16"/>
      <c r="C12" s="16"/>
      <c r="D12" s="16"/>
      <c r="E12" s="5"/>
      <c r="F12" s="16"/>
    </row>
    <row r="13" customFormat="false" ht="15" hidden="false" customHeight="false" outlineLevel="0" collapsed="false">
      <c r="A13" s="16"/>
      <c r="B13" s="16"/>
      <c r="C13" s="16"/>
      <c r="D13" s="16"/>
      <c r="E13" s="5"/>
      <c r="F13" s="16"/>
    </row>
    <row r="14" customFormat="false" ht="15" hidden="false" customHeight="false" outlineLevel="0" collapsed="false">
      <c r="A14" s="16"/>
      <c r="B14" s="16"/>
      <c r="C14" s="16"/>
      <c r="D14" s="16"/>
      <c r="E14" s="5"/>
      <c r="F14" s="16"/>
    </row>
    <row r="15" customFormat="false" ht="15" hidden="false" customHeight="false" outlineLevel="0" collapsed="false">
      <c r="A15" s="16"/>
      <c r="B15" s="16"/>
      <c r="C15" s="16"/>
      <c r="D15" s="16"/>
      <c r="E15" s="5"/>
      <c r="F15" s="16"/>
    </row>
    <row r="16" customFormat="false" ht="15" hidden="false" customHeight="false" outlineLevel="0" collapsed="false">
      <c r="A16" s="16"/>
      <c r="B16" s="16"/>
      <c r="C16" s="16"/>
      <c r="D16" s="16"/>
      <c r="E16" s="5"/>
      <c r="F16" s="16"/>
    </row>
    <row r="17" customFormat="false" ht="15" hidden="false" customHeight="false" outlineLevel="0" collapsed="false">
      <c r="A17" s="16"/>
      <c r="B17" s="16"/>
      <c r="C17" s="16"/>
      <c r="D17" s="16"/>
      <c r="E17" s="5"/>
      <c r="F17" s="16"/>
    </row>
    <row r="18" customFormat="false" ht="15" hidden="false" customHeight="false" outlineLevel="0" collapsed="false">
      <c r="A18" s="16"/>
      <c r="B18" s="16"/>
      <c r="C18" s="16"/>
      <c r="D18" s="16"/>
      <c r="E18" s="5"/>
      <c r="F18" s="16"/>
    </row>
    <row r="19" customFormat="false" ht="15" hidden="false" customHeight="false" outlineLevel="0" collapsed="false">
      <c r="A19" s="16"/>
      <c r="B19" s="16"/>
      <c r="C19" s="16"/>
      <c r="D19" s="16"/>
      <c r="E19" s="5"/>
      <c r="F19" s="16"/>
    </row>
    <row r="20" customFormat="false" ht="15" hidden="false" customHeight="false" outlineLevel="0" collapsed="false">
      <c r="A20" s="16"/>
      <c r="B20" s="16"/>
      <c r="C20" s="16"/>
      <c r="D20" s="16"/>
      <c r="E20" s="5"/>
      <c r="F20" s="16"/>
    </row>
    <row r="21" customFormat="false" ht="15" hidden="false" customHeight="false" outlineLevel="0" collapsed="false">
      <c r="A21" s="16"/>
      <c r="B21" s="16"/>
      <c r="C21" s="16"/>
      <c r="D21" s="16"/>
      <c r="E21" s="5"/>
      <c r="F21" s="16"/>
    </row>
    <row r="22" customFormat="false" ht="15" hidden="false" customHeight="false" outlineLevel="0" collapsed="false">
      <c r="A22" s="16"/>
      <c r="B22" s="16"/>
      <c r="C22" s="16"/>
      <c r="D22" s="16"/>
      <c r="E22" s="5"/>
      <c r="F22" s="16"/>
    </row>
    <row r="23" customFormat="false" ht="15" hidden="false" customHeight="false" outlineLevel="0" collapsed="false">
      <c r="A23" s="16"/>
      <c r="B23" s="16"/>
      <c r="C23" s="16"/>
      <c r="D23" s="16"/>
      <c r="E23" s="5"/>
      <c r="F23" s="16"/>
    </row>
  </sheetData>
  <dataValidations count="1">
    <dataValidation allowBlank="true" errorStyle="stop" operator="between" showDropDown="false" showErrorMessage="false" showInputMessage="false" sqref="B4:B23" type="list">
      <formula1>"Lodging,Meeting room,Meals,Ground transport,Activity,Printing,Contingency"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4" t="s">
        <v>39</v>
      </c>
    </row>
    <row r="3" customFormat="false" ht="15" hidden="false" customHeight="false" outlineLevel="0" collapsed="false">
      <c r="A3" s="11" t="s">
        <v>40</v>
      </c>
    </row>
    <row r="4" customFormat="false" ht="15" hidden="false" customHeight="false" outlineLevel="0" collapsed="false">
      <c r="A4" s="11" t="s">
        <v>41</v>
      </c>
    </row>
    <row r="5" customFormat="false" ht="15" hidden="false" customHeight="false" outlineLevel="0" collapsed="false">
      <c r="A5" s="11" t="s">
        <v>42</v>
      </c>
    </row>
    <row r="6" customFormat="false" ht="15" hidden="false" customHeight="false" outlineLevel="0" collapsed="false">
      <c r="A6" s="11" t="s">
        <v>43</v>
      </c>
    </row>
    <row r="7" customFormat="false" ht="15" hidden="false" customHeight="false" outlineLevel="0" collapsed="false">
      <c r="A7" s="11" t="s">
        <v>44</v>
      </c>
    </row>
    <row r="8" customFormat="false" ht="15" hidden="false" customHeight="false" outlineLevel="0" collapsed="false">
      <c r="A8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2026-10-15T14:25:26Z</dcterms:created>
  <dc:creator>openpyxl</dc:creator>
  <dc:description/>
  <dc:language>en-US</dc:language>
  <cp:lastModifiedBy/>
  <dcterms:modified xsi:type="dcterms:W3CDTF">2026-10-15T14:25:26Z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